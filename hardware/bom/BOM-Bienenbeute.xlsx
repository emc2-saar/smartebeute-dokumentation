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9CB08643-3E4E-49B8-AB07-139A6969442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2" i="1" l="1"/>
  <c r="E9" i="1"/>
  <c r="E10" i="1"/>
  <c r="E11" i="1"/>
  <c r="E23" i="1"/>
  <c r="E24" i="1"/>
  <c r="E21" i="1"/>
  <c r="E19" i="1"/>
  <c r="E20" i="1"/>
  <c r="E18" i="1"/>
  <c r="E14" i="1"/>
  <c r="E15" i="1"/>
  <c r="E16" i="1"/>
  <c r="E17" i="1"/>
  <c r="E6" i="1"/>
  <c r="E7" i="1"/>
  <c r="E8" i="1"/>
  <c r="E12" i="1"/>
  <c r="E3" i="1"/>
  <c r="E4" i="1"/>
  <c r="E2" i="1"/>
  <c r="D27" i="1" s="1"/>
  <c r="E27" i="1" s="1"/>
  <c r="E35" i="1" s="1"/>
</calcChain>
</file>

<file path=xl/sharedStrings.xml><?xml version="1.0" encoding="utf-8"?>
<sst xmlns="http://schemas.openxmlformats.org/spreadsheetml/2006/main" count="74" uniqueCount="73">
  <si>
    <t>Menge</t>
  </si>
  <si>
    <t>Artikel</t>
  </si>
  <si>
    <t>Link</t>
  </si>
  <si>
    <t>EPreis</t>
  </si>
  <si>
    <t>GPreis</t>
  </si>
  <si>
    <t>Stromsensor</t>
  </si>
  <si>
    <t>https://www.berrybase.de/ina219-stromsensor-mit-breakoutboard</t>
  </si>
  <si>
    <t>LED THT PL9823</t>
  </si>
  <si>
    <t>digitale PL9823 5mm LED (bgl. WS2812), diffus - kaufen bei BerryBase</t>
  </si>
  <si>
    <t>Netzwerkkabel flach 3m</t>
  </si>
  <si>
    <t>CAT 6 Netzwerkkabel, U/UTP, flach, weiß - kaufen bei BerryBase</t>
  </si>
  <si>
    <t>Node MCU ESP32 USB-C</t>
  </si>
  <si>
    <t>NodeMcu Entwicklungsboard ESP32 ESP-WROOM-32 USB-C 38 Pin</t>
  </si>
  <si>
    <t>HX711 Wäägezelle</t>
  </si>
  <si>
    <t>HX711 24 Bit Gewichtssensor Arduino</t>
  </si>
  <si>
    <t>BME280 Sens. Temp/Druck/Feuchte</t>
  </si>
  <si>
    <t>BME280 Sensor für Temperatur, Luftfeuchtigkeit und Luftdruck</t>
  </si>
  <si>
    <t>BMP280 Sens. Temp/Druck</t>
  </si>
  <si>
    <t>BMP280 Barometer Luftdrucksensor Temperatursensor Wetterstation</t>
  </si>
  <si>
    <t>BH1750 Sens. Helligkeit</t>
  </si>
  <si>
    <t>GY-302 Lichtintensität Sensor BH1750FVI für Arduino DC 3V - 5V</t>
  </si>
  <si>
    <t>MAX4466 Mikrofon</t>
  </si>
  <si>
    <t>GY-MAX4466 Mikrofonverstärker Modul</t>
  </si>
  <si>
    <t>LM2596S StepDown Netzteil</t>
  </si>
  <si>
    <t>Spannungswandler LM2596 DC-DC Step-Down Modul 2A</t>
  </si>
  <si>
    <t>Diode 1N5400</t>
  </si>
  <si>
    <t>MIC Gleichrichterdiode, 50 V, 3 A, DO-201AD | Gleichrichterdioden günstig kaufen | reichelt elektronik</t>
  </si>
  <si>
    <t>Diode 1N5822</t>
  </si>
  <si>
    <t>MIC Schottkydiode, 40 V, 3 A, DO-201AD | Schottkydioden günstig kaufen | reichelt elektronik</t>
  </si>
  <si>
    <t>Diode 1N4148</t>
  </si>
  <si>
    <t>FREI Schalt-Diode, 100 V, 150 mA, DO-35 | Gleichrichterdioden günstig kaufen | reichelt elektronik</t>
  </si>
  <si>
    <t>Leiterplattenklemme 2Pol</t>
  </si>
  <si>
    <t>DEGSON Leiterplattenklemme, 2 polig, RM 5 mm | Leiterplattenklemmen günstig kaufen | reichelt elektronik</t>
  </si>
  <si>
    <t>Leiterplattenklemme 3 Pol</t>
  </si>
  <si>
    <t>DEGSON Leiterplattenklemme, 3 polig, RM 5 mm | Leiterplattenklemmen günstig kaufen | reichelt elektronik</t>
  </si>
  <si>
    <t>Sicherung 3,15A mittelträge</t>
  </si>
  <si>
    <t>ESKA Feinsicherung 5x20mm, mittelträge 3,15A | 5mm Fein-/Gerätesicherungen günstig kaufen | reichelt elektronik</t>
  </si>
  <si>
    <t>Sicherungshalterhälfte</t>
  </si>
  <si>
    <t>ESKA Sicherungshalter, 5x20mm, max. 6,3A-500V | Sicherungshalter günstig kaufen | reichelt elektronik</t>
  </si>
  <si>
    <t>Widerstand 1K</t>
  </si>
  <si>
    <t>YAGEO Widerstand, Metallschicht, 1,00 kOhm, 0207, 0,6 W, 1% | 1% Metallschichtwiderstände günstig kaufen | reichelt elektronik</t>
  </si>
  <si>
    <t>Widerstand 4,7K</t>
  </si>
  <si>
    <t>YAGEO Widerstand, Metallschicht, 4,70 kOhm, 0207, 0,6 W, 1% | 1% Metallschichtwiderstände günstig kaufen | reichelt elektronik</t>
  </si>
  <si>
    <t>USB-Buchse 90°</t>
  </si>
  <si>
    <t>FREI USB-Einbaubuchse, Serie A, gew., Printmontage | USB-Leiterplattenverbinder günstig kaufen | reichelt elektronik</t>
  </si>
  <si>
    <t xml:space="preserve">Netzwerkbuchse </t>
  </si>
  <si>
    <t>FREI Modular Einbaubuchse 8/8, schwarz | Modular-Steckverbinder günstig kaufen | reichelt elektronik</t>
  </si>
  <si>
    <t>Gesamtpreis der Bauteile pro Platinenset:</t>
  </si>
  <si>
    <t>Versand Berrybase</t>
  </si>
  <si>
    <t>Versand Roboterbausatz-Shop</t>
  </si>
  <si>
    <t>Versand Reichelt Electronik</t>
  </si>
  <si>
    <t>10 Platinensätze bei JLCPCB</t>
  </si>
  <si>
    <t>Gesamtpreis für 10 Platinensätze mit Bauteilen und Versand:</t>
  </si>
  <si>
    <t>optional:</t>
  </si>
  <si>
    <t>Akku 12V 9AH</t>
  </si>
  <si>
    <t>ARLI AGM Blei Akku 12V 9Ah – 9000 mAh wartungsfrei</t>
  </si>
  <si>
    <t>(haben wir 2 inkl. unserer Ausstellungswaage im Container)</t>
  </si>
  <si>
    <t>Schaltschrank IP65 mit Sichttür</t>
  </si>
  <si>
    <t>ARLI Schaltschrank IP65 Kunststoff wetterfest Gehäuse transparent tür sichttür Außen Innen Montageplatte 250 x 350 x 150 mm</t>
  </si>
  <si>
    <t>Versand Arli</t>
  </si>
  <si>
    <t>kostenlos</t>
  </si>
  <si>
    <t>Solarpanel 30W black</t>
  </si>
  <si>
    <t>Solarmodul 30 Watt Monokristallin black schwarz MünchenSolar 12V Solarpanel (0% MwSt.*)-MO030MB1-0%</t>
  </si>
  <si>
    <t>(haben wir nur das unserer Ausstellungswaage im Container)</t>
  </si>
  <si>
    <t>Versand Bau Tech Shop</t>
  </si>
  <si>
    <t xml:space="preserve">Plattformwaage </t>
  </si>
  <si>
    <t>Platformwaage Industriewaage 150kg Digitale Paketwaage Tierwaage Hundewaage Reto | eBay.de</t>
  </si>
  <si>
    <t>(haben wir nur die unserer Ausstellungswaage im Container)</t>
  </si>
  <si>
    <t>LTE-WLAN Router</t>
  </si>
  <si>
    <t>https://www.reichelt.de/de/de/shop/produkt/4g_wlan_router_2_4_5_ghz_287_mbit_s-382647</t>
  </si>
  <si>
    <t>SIM-Karte</t>
  </si>
  <si>
    <t>https://www.spusu.de/spusu5</t>
  </si>
  <si>
    <t>Monatlich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</si>
</sst>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Alignment="1">
      <alignment horizontal="right"/>
    </xf>
  </cellXfs>
  <cellStyles count="2">
    <cellStyle name="Hyperlink" xfId="1" xr:uid="{00000000-000B-0000-0000-000008000000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oboter-bausatz.de/p/bmp280-barometer-luftdrucksensor-temperatursensor-wetterstation" TargetMode="External"/><Relationship Id="rId13" Type="http://schemas.openxmlformats.org/officeDocument/2006/relationships/hyperlink" Target="https://www.bau-tech.shop/solarmodul-30-watt-monokristallin-black-schwarz-muenchensolar-12v-solarpanel-0-mwst1.html" TargetMode="External"/><Relationship Id="rId18" Type="http://schemas.openxmlformats.org/officeDocument/2006/relationships/hyperlink" Target="https://www.reichelt.de/de/de/shop/produkt/leiterplattenklemme_2_polig_rm_5_mm-276210" TargetMode="External"/><Relationship Id="rId26" Type="http://schemas.openxmlformats.org/officeDocument/2006/relationships/hyperlink" Target="https://www.reichelt.de/de/de/shop/produkt/4g_wlan_router_2_4_5_ghz_287_mbit_s-382647" TargetMode="External"/><Relationship Id="rId3" Type="http://schemas.openxmlformats.org/officeDocument/2006/relationships/hyperlink" Target="https://www.berrybase.de/cat-6-netzwerkkabel-u-utp-flach-weiss/laenge-3-0-m" TargetMode="External"/><Relationship Id="rId21" Type="http://schemas.openxmlformats.org/officeDocument/2006/relationships/hyperlink" Target="https://www.reichelt.de/de/de/shop/produkt/sicherungshalter_5x20mm_max_6_3a-500v-14679" TargetMode="External"/><Relationship Id="rId7" Type="http://schemas.openxmlformats.org/officeDocument/2006/relationships/hyperlink" Target="https://www.roboter-bausatz.de/p/nodemcu-esp32-usb-c-38-pin" TargetMode="External"/><Relationship Id="rId12" Type="http://schemas.openxmlformats.org/officeDocument/2006/relationships/hyperlink" Target="https://arli24.de/ARLI-Schaltschrank-IP65-Kunststoff-Gehaeuse-mit-Sichttuer-250x350x150-mm-inkl.-Montageplatte-Verteilerkasten/1120A" TargetMode="External"/><Relationship Id="rId17" Type="http://schemas.openxmlformats.org/officeDocument/2006/relationships/hyperlink" Target="https://www.reichelt.de/de/de/shop/produkt/schalt-diode_100_v_150_ma_do-35-1730" TargetMode="External"/><Relationship Id="rId25" Type="http://schemas.openxmlformats.org/officeDocument/2006/relationships/hyperlink" Target="https://www.reichelt.de/de/de/shop/produkt/modular_einbaubuchse_8_8_schwarz-11372" TargetMode="External"/><Relationship Id="rId2" Type="http://schemas.openxmlformats.org/officeDocument/2006/relationships/hyperlink" Target="https://www.berrybase.de/digitale-pl9823-5mm-led-bgl.-ws2812-diffus" TargetMode="External"/><Relationship Id="rId16" Type="http://schemas.openxmlformats.org/officeDocument/2006/relationships/hyperlink" Target="https://www.reichelt.de/de/de/shop/produkt/schottkydiode_40_v_3_a_do-201ad-41852" TargetMode="External"/><Relationship Id="rId20" Type="http://schemas.openxmlformats.org/officeDocument/2006/relationships/hyperlink" Target="https://www.reichelt.de/de/de/shop/produkt/feinsicherung_5x20mm_mitteltraege_3_15a-13247" TargetMode="External"/><Relationship Id="rId1" Type="http://schemas.openxmlformats.org/officeDocument/2006/relationships/hyperlink" Target="https://www.berrybase.de/ina219-stromsensor-mit-breakoutboard" TargetMode="External"/><Relationship Id="rId6" Type="http://schemas.openxmlformats.org/officeDocument/2006/relationships/hyperlink" Target="https://www.roboter-bausatz.de/p/spannungswandler-lm2596s-dc-dc-step-down-modul-2a" TargetMode="External"/><Relationship Id="rId11" Type="http://schemas.openxmlformats.org/officeDocument/2006/relationships/hyperlink" Target="https://arli24.de/stromakku/agm-blei-akku/3266/agm-blei-akku-12v-9ah-20hr-batterie-9000-mah" TargetMode="External"/><Relationship Id="rId24" Type="http://schemas.openxmlformats.org/officeDocument/2006/relationships/hyperlink" Target="https://www.reichelt.de/de/de/shop/produkt/usb-einbaubuchse_serie_a_gew_printmontage-22184" TargetMode="External"/><Relationship Id="rId5" Type="http://schemas.openxmlformats.org/officeDocument/2006/relationships/hyperlink" Target="https://www.roboter-bausatz.de/p/digital-bme280-temperatur-sensor-luftdruck-feuchtigkeit-i2c-5v-barometer-arduino" TargetMode="External"/><Relationship Id="rId15" Type="http://schemas.openxmlformats.org/officeDocument/2006/relationships/hyperlink" Target="https://www.reichelt.de/de/de/shop/produkt/gleichrichterdiode_50_v_3_a_do-201ad-1745?search=1n5400&amp;" TargetMode="External"/><Relationship Id="rId23" Type="http://schemas.openxmlformats.org/officeDocument/2006/relationships/hyperlink" Target="https://www.reichelt.de/de/de/shop/produkt/widerstand_metallschicht_4_70_kohm_0207_0_6_w_1_-11784" TargetMode="External"/><Relationship Id="rId10" Type="http://schemas.openxmlformats.org/officeDocument/2006/relationships/hyperlink" Target="https://www.roboter-bausatz.de/p/gy-max4466-mikrofonverstaerker-modul" TargetMode="External"/><Relationship Id="rId19" Type="http://schemas.openxmlformats.org/officeDocument/2006/relationships/hyperlink" Target="https://www.reichelt.de/de/de/shop/produkt/leiterplattenklemme_3_polig_rm_5_mm-276209" TargetMode="External"/><Relationship Id="rId4" Type="http://schemas.openxmlformats.org/officeDocument/2006/relationships/hyperlink" Target="https://www.roboter-bausatz.de/p/hx711-24-bit-gewichtssensor-arduino" TargetMode="External"/><Relationship Id="rId9" Type="http://schemas.openxmlformats.org/officeDocument/2006/relationships/hyperlink" Target="https://www.roboter-bausatz.de/p/gy-302-lichtintensitaet-sensor-bh1750fvi-fuer-arduino-dc-3v-5v" TargetMode="External"/><Relationship Id="rId14" Type="http://schemas.openxmlformats.org/officeDocument/2006/relationships/hyperlink" Target="https://www.ebay.de/itm/389373359210?_skw=plattformwaage+150kg&amp;itmmeta=01M4EC26EEAJBJFG0JPTN0F6WC&amp;hash=item5aa875f46a:g:9OYAAeSwVwxpP7ej&amp;itmprp=enc%3AAQALAAAA8GfYFPkwiKCW4ZNSs2u11xDeetjauF7a8VIDien1GutDPKNLmFwKfyA5izKqw3ya%2BoU%2FLTHBewCGYOWOwQwi8nfCBNLl%2Bt3PAO3grcrRbgkjHsXXBcXrnDrf5fXRQmvnXrJ4JoFEwCNHFuKgNqu52vIBHyEAl2SY2eE052rJrbxUXFOkXD2cF5qdhsi5gJufuKboGe4che4w2sqBnPZzlEOvuv433HKanjYBdT%2F95r9del5W5MVWzoHFG7M%2BtQFCu953P0ZA4F%2BobkdYbB6sukrgyFpqJjBYDlU3tAmemgi1AgGwnNQZi7QIpKpDznw9cw%3D%3D%7Ctkp%3ABk9SR87niMyjaA" TargetMode="External"/><Relationship Id="rId22" Type="http://schemas.openxmlformats.org/officeDocument/2006/relationships/hyperlink" Target="https://www.reichelt.de/de/de/shop/produkt/widerstand_metallschicht_1_00_kohm_0207_0_6_w_1_-11403" TargetMode="External"/><Relationship Id="rId27" Type="http://schemas.openxmlformats.org/officeDocument/2006/relationships/hyperlink" Target="https://www.spusu.de/spusu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A18" workbookViewId="0">
      <selection activeCell="F46" sqref="F46"/>
    </sheetView>
  </sheetViews>
  <sheetFormatPr defaultRowHeight="15"/>
  <cols>
    <col min="1" max="1" width="7.28515625" bestFit="1" customWidth="1"/>
    <col min="2" max="2" width="34.5703125" customWidth="1"/>
    <col min="3" max="3" width="95.140625" customWidth="1"/>
    <col min="4" max="5" width="9.140625" style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s="2" t="s">
        <v>6</v>
      </c>
      <c r="D2" s="1">
        <v>3.7</v>
      </c>
      <c r="E2" s="1">
        <f>SUMPRODUCT(A2,D2)</f>
        <v>3.7</v>
      </c>
    </row>
    <row r="3" spans="1:5">
      <c r="A3">
        <v>1</v>
      </c>
      <c r="B3" t="s">
        <v>7</v>
      </c>
      <c r="C3" s="2" t="s">
        <v>8</v>
      </c>
      <c r="D3" s="1">
        <v>0.35</v>
      </c>
      <c r="E3" s="1">
        <f t="shared" ref="E3:E24" si="0">SUMPRODUCT(A3,D3)</f>
        <v>0.35</v>
      </c>
    </row>
    <row r="4" spans="1:5">
      <c r="A4">
        <v>2</v>
      </c>
      <c r="B4" t="s">
        <v>9</v>
      </c>
      <c r="C4" s="2" t="s">
        <v>10</v>
      </c>
      <c r="D4" s="1">
        <v>1.8</v>
      </c>
      <c r="E4" s="1">
        <f t="shared" si="0"/>
        <v>3.6</v>
      </c>
    </row>
    <row r="5" spans="1:5">
      <c r="C5" s="2"/>
    </row>
    <row r="6" spans="1:5">
      <c r="A6">
        <v>1</v>
      </c>
      <c r="B6" t="s">
        <v>11</v>
      </c>
      <c r="C6" s="2" t="s">
        <v>12</v>
      </c>
      <c r="D6" s="1">
        <v>8.24</v>
      </c>
      <c r="E6" s="1">
        <f t="shared" si="0"/>
        <v>8.24</v>
      </c>
    </row>
    <row r="7" spans="1:5">
      <c r="A7">
        <v>2</v>
      </c>
      <c r="B7" t="s">
        <v>13</v>
      </c>
      <c r="C7" s="2" t="s">
        <v>14</v>
      </c>
      <c r="D7" s="1">
        <v>1.0900000000000001</v>
      </c>
      <c r="E7" s="1">
        <f t="shared" si="0"/>
        <v>2.1800000000000002</v>
      </c>
    </row>
    <row r="8" spans="1:5">
      <c r="A8">
        <v>1</v>
      </c>
      <c r="B8" t="s">
        <v>15</v>
      </c>
      <c r="C8" s="2" t="s">
        <v>16</v>
      </c>
      <c r="D8" s="1">
        <v>8.5500000000000007</v>
      </c>
      <c r="E8" s="1">
        <f t="shared" si="0"/>
        <v>8.5500000000000007</v>
      </c>
    </row>
    <row r="9" spans="1:5">
      <c r="A9">
        <v>2</v>
      </c>
      <c r="B9" t="s">
        <v>17</v>
      </c>
      <c r="C9" s="2" t="s">
        <v>18</v>
      </c>
      <c r="D9" s="1">
        <v>1.1599999999999999</v>
      </c>
      <c r="E9" s="1">
        <f t="shared" si="0"/>
        <v>2.3199999999999998</v>
      </c>
    </row>
    <row r="10" spans="1:5">
      <c r="A10">
        <v>1</v>
      </c>
      <c r="B10" t="s">
        <v>19</v>
      </c>
      <c r="C10" s="2" t="s">
        <v>20</v>
      </c>
      <c r="D10" s="1">
        <v>2.39</v>
      </c>
      <c r="E10" s="1">
        <f t="shared" si="0"/>
        <v>2.39</v>
      </c>
    </row>
    <row r="11" spans="1:5">
      <c r="A11">
        <v>1</v>
      </c>
      <c r="B11" t="s">
        <v>21</v>
      </c>
      <c r="C11" s="2" t="s">
        <v>22</v>
      </c>
      <c r="D11" s="1">
        <v>2.59</v>
      </c>
      <c r="E11" s="1">
        <f t="shared" si="0"/>
        <v>2.59</v>
      </c>
    </row>
    <row r="12" spans="1:5">
      <c r="A12">
        <v>2</v>
      </c>
      <c r="B12" t="s">
        <v>23</v>
      </c>
      <c r="C12" s="2" t="s">
        <v>24</v>
      </c>
      <c r="D12" s="1">
        <v>1.69</v>
      </c>
      <c r="E12" s="1">
        <f t="shared" si="0"/>
        <v>3.38</v>
      </c>
    </row>
    <row r="13" spans="1:5">
      <c r="C13" s="2"/>
    </row>
    <row r="14" spans="1:5">
      <c r="A14">
        <v>2</v>
      </c>
      <c r="B14" t="s">
        <v>25</v>
      </c>
      <c r="C14" s="2" t="s">
        <v>26</v>
      </c>
      <c r="D14" s="1">
        <v>0.05</v>
      </c>
      <c r="E14" s="1">
        <f t="shared" si="0"/>
        <v>0.1</v>
      </c>
    </row>
    <row r="15" spans="1:5">
      <c r="A15">
        <v>1</v>
      </c>
      <c r="B15" t="s">
        <v>27</v>
      </c>
      <c r="C15" s="2" t="s">
        <v>28</v>
      </c>
      <c r="D15" s="1">
        <v>0.15</v>
      </c>
      <c r="E15" s="1">
        <f t="shared" si="0"/>
        <v>0.15</v>
      </c>
    </row>
    <row r="16" spans="1:5">
      <c r="A16">
        <v>1</v>
      </c>
      <c r="B16" t="s">
        <v>29</v>
      </c>
      <c r="C16" s="2" t="s">
        <v>30</v>
      </c>
      <c r="D16" s="1">
        <v>0.02</v>
      </c>
      <c r="E16" s="1">
        <f t="shared" si="0"/>
        <v>0.02</v>
      </c>
    </row>
    <row r="17" spans="1:5">
      <c r="A17">
        <v>7</v>
      </c>
      <c r="B17" t="s">
        <v>31</v>
      </c>
      <c r="C17" s="2" t="s">
        <v>32</v>
      </c>
      <c r="D17" s="1">
        <v>0.25</v>
      </c>
      <c r="E17" s="1">
        <f t="shared" si="0"/>
        <v>1.75</v>
      </c>
    </row>
    <row r="18" spans="1:5">
      <c r="A18">
        <v>3</v>
      </c>
      <c r="B18" t="s">
        <v>33</v>
      </c>
      <c r="C18" s="2" t="s">
        <v>34</v>
      </c>
      <c r="D18" s="1">
        <v>0.33</v>
      </c>
      <c r="E18" s="1">
        <f t="shared" si="0"/>
        <v>0.99</v>
      </c>
    </row>
    <row r="19" spans="1:5">
      <c r="A19">
        <v>2</v>
      </c>
      <c r="B19" t="s">
        <v>35</v>
      </c>
      <c r="C19" s="2" t="s">
        <v>36</v>
      </c>
      <c r="D19" s="1">
        <v>0.41</v>
      </c>
      <c r="E19" s="1">
        <f t="shared" si="0"/>
        <v>0.82</v>
      </c>
    </row>
    <row r="20" spans="1:5">
      <c r="A20">
        <v>4</v>
      </c>
      <c r="B20" t="s">
        <v>37</v>
      </c>
      <c r="C20" s="2" t="s">
        <v>38</v>
      </c>
      <c r="D20" s="1">
        <v>0.08</v>
      </c>
      <c r="E20" s="1">
        <f t="shared" si="0"/>
        <v>0.32</v>
      </c>
    </row>
    <row r="21" spans="1:5">
      <c r="A21">
        <v>1</v>
      </c>
      <c r="B21" t="s">
        <v>39</v>
      </c>
      <c r="C21" s="2" t="s">
        <v>40</v>
      </c>
      <c r="D21" s="1">
        <v>7.0000000000000007E-2</v>
      </c>
      <c r="E21" s="1">
        <f t="shared" si="0"/>
        <v>7.0000000000000007E-2</v>
      </c>
    </row>
    <row r="22" spans="1:5">
      <c r="A22">
        <v>3</v>
      </c>
      <c r="B22" t="s">
        <v>41</v>
      </c>
      <c r="C22" s="2" t="s">
        <v>42</v>
      </c>
      <c r="D22" s="1">
        <v>0.1</v>
      </c>
      <c r="E22" s="1">
        <f t="shared" si="0"/>
        <v>0.30000000000000004</v>
      </c>
    </row>
    <row r="23" spans="1:5">
      <c r="A23">
        <v>1</v>
      </c>
      <c r="B23" s="3" t="s">
        <v>43</v>
      </c>
      <c r="C23" s="2" t="s">
        <v>44</v>
      </c>
      <c r="D23" s="1">
        <v>0.15</v>
      </c>
      <c r="E23" s="1">
        <f t="shared" si="0"/>
        <v>0.15</v>
      </c>
    </row>
    <row r="24" spans="1:5">
      <c r="A24">
        <v>4</v>
      </c>
      <c r="B24" t="s">
        <v>45</v>
      </c>
      <c r="C24" s="2" t="s">
        <v>46</v>
      </c>
      <c r="D24" s="1">
        <v>0.36</v>
      </c>
      <c r="E24" s="1">
        <f t="shared" si="0"/>
        <v>1.44</v>
      </c>
    </row>
    <row r="27" spans="1:5">
      <c r="A27">
        <v>10</v>
      </c>
      <c r="C27" s="4" t="s">
        <v>47</v>
      </c>
      <c r="D27" s="1">
        <f>SUM(E2:E24)</f>
        <v>43.410000000000004</v>
      </c>
      <c r="E27" s="1">
        <f>SUMPRODUCT(D27,A27)</f>
        <v>434.1</v>
      </c>
    </row>
    <row r="29" spans="1:5">
      <c r="C29" s="4" t="s">
        <v>48</v>
      </c>
      <c r="E29" s="1">
        <v>4.95</v>
      </c>
    </row>
    <row r="30" spans="1:5">
      <c r="C30" s="4" t="s">
        <v>49</v>
      </c>
      <c r="E30" s="1">
        <v>4.45</v>
      </c>
    </row>
    <row r="31" spans="1:5">
      <c r="C31" s="4" t="s">
        <v>50</v>
      </c>
      <c r="E31" s="1">
        <v>5.95</v>
      </c>
    </row>
    <row r="33" spans="2:6">
      <c r="C33" s="4" t="s">
        <v>51</v>
      </c>
      <c r="E33" s="1">
        <v>24.55</v>
      </c>
    </row>
    <row r="34" spans="2:6">
      <c r="C34" s="4"/>
    </row>
    <row r="35" spans="2:6">
      <c r="C35" s="4" t="s">
        <v>52</v>
      </c>
      <c r="E35" s="1">
        <f>SUM(E27:E34)</f>
        <v>474</v>
      </c>
    </row>
    <row r="36" spans="2:6">
      <c r="B36" t="s">
        <v>53</v>
      </c>
    </row>
    <row r="37" spans="2:6">
      <c r="B37" t="s">
        <v>54</v>
      </c>
      <c r="C37" s="2" t="s">
        <v>55</v>
      </c>
      <c r="E37" s="1">
        <v>19.55</v>
      </c>
      <c r="F37" t="s">
        <v>56</v>
      </c>
    </row>
    <row r="38" spans="2:6">
      <c r="B38" t="s">
        <v>57</v>
      </c>
      <c r="C38" s="2" t="s">
        <v>58</v>
      </c>
      <c r="E38" s="1">
        <v>24.99</v>
      </c>
      <c r="F38" t="s">
        <v>56</v>
      </c>
    </row>
    <row r="39" spans="2:6">
      <c r="C39" s="4" t="s">
        <v>59</v>
      </c>
      <c r="E39" s="1" t="s">
        <v>60</v>
      </c>
    </row>
    <row r="40" spans="2:6">
      <c r="B40" t="s">
        <v>61</v>
      </c>
      <c r="C40" s="2" t="s">
        <v>62</v>
      </c>
      <c r="E40" s="1">
        <v>23.9</v>
      </c>
      <c r="F40" t="s">
        <v>63</v>
      </c>
    </row>
    <row r="41" spans="2:6">
      <c r="C41" s="4" t="s">
        <v>64</v>
      </c>
      <c r="E41" s="1">
        <v>6.9</v>
      </c>
    </row>
    <row r="42" spans="2:6">
      <c r="B42" t="s">
        <v>65</v>
      </c>
      <c r="C42" s="2" t="s">
        <v>66</v>
      </c>
      <c r="E42" s="1">
        <v>33.89</v>
      </c>
      <c r="F42" t="s">
        <v>67</v>
      </c>
    </row>
    <row r="44" spans="2:6">
      <c r="B44" t="s">
        <v>68</v>
      </c>
      <c r="C44" s="2" t="s">
        <v>69</v>
      </c>
      <c r="E44" s="1">
        <v>34.99</v>
      </c>
    </row>
    <row r="45" spans="2:6">
      <c r="B45" t="s">
        <v>70</v>
      </c>
      <c r="C45" s="2" t="s">
        <v>71</v>
      </c>
      <c r="E45" s="1">
        <v>4.9000000000000004</v>
      </c>
      <c r="F45" t="s">
        <v>72</v>
      </c>
    </row>
  </sheetData>
  <hyperlinks>
    <hyperlink ref="C2" r:id="rId1" xr:uid="{A0C6C641-75AD-45B5-B283-23353134AE93}"/>
    <hyperlink ref="C3" r:id="rId2" xr:uid="{1D8C06E8-A8E8-4938-9AC7-2B8003424FD5}"/>
    <hyperlink ref="C4" r:id="rId3" xr:uid="{C0E19C3B-AAF4-4BD4-9E78-E68E6AC600CA}"/>
    <hyperlink ref="C7" r:id="rId4" xr:uid="{8527B6CF-D98E-48F4-AD82-F0637C346D17}"/>
    <hyperlink ref="C8" r:id="rId5" xr:uid="{319F9A2D-9A4C-466A-B4A4-75800B41D867}"/>
    <hyperlink ref="C12" r:id="rId6" xr:uid="{B915BDBC-4A69-40F3-843A-C0C0AA365E1D}"/>
    <hyperlink ref="C6" r:id="rId7" xr:uid="{9F3E24AB-EF36-4E40-8135-3BA48662194C}"/>
    <hyperlink ref="C9" r:id="rId8" xr:uid="{E57594B8-2597-4C9B-906D-96A3C47CC750}"/>
    <hyperlink ref="C10" r:id="rId9" xr:uid="{08E77685-96F6-4C70-A475-0DFE0228664C}"/>
    <hyperlink ref="C11" r:id="rId10" xr:uid="{1B94CC3C-4C65-4365-95C0-1DFDFCE7C97F}"/>
    <hyperlink ref="C37" r:id="rId11" xr:uid="{BAECD221-A7FA-406A-9E01-84DB0F17199E}"/>
    <hyperlink ref="C38" r:id="rId12" xr:uid="{FE56812F-4144-43B9-ACBF-D469367C23A7}"/>
    <hyperlink ref="C40" r:id="rId13" xr:uid="{1C7E3D13-9E97-427A-82DC-D5054B3A272C}"/>
    <hyperlink ref="C42" r:id="rId14" xr:uid="{7A94160C-D46B-48D4-AB49-BAF82851B654}"/>
    <hyperlink ref="C14" r:id="rId15" xr:uid="{E5D4968D-AEB2-4C8F-97D4-36EC217B26F4}"/>
    <hyperlink ref="C15" r:id="rId16" xr:uid="{FFE2C0BC-282E-42DB-86AD-68CA4B8405C9}"/>
    <hyperlink ref="C16" r:id="rId17" xr:uid="{E61E356C-4A26-4253-A4B0-88F2AF8D538A}"/>
    <hyperlink ref="C17" r:id="rId18" xr:uid="{88D54D9D-861F-48E8-B6F4-5FEDA47FD211}"/>
    <hyperlink ref="C18" r:id="rId19" xr:uid="{1AD5048B-5DBE-499F-AB69-B0090A07A986}"/>
    <hyperlink ref="C19" r:id="rId20" xr:uid="{9329429B-772C-4511-88DB-5A3A61FC8A76}"/>
    <hyperlink ref="C20" r:id="rId21" xr:uid="{CD503B10-16F2-40F6-B829-F2BA0E84D0FA}"/>
    <hyperlink ref="C21" r:id="rId22" xr:uid="{54F5A122-4EA8-41CA-A5E6-7BC79B5B57B4}"/>
    <hyperlink ref="C22" r:id="rId23" xr:uid="{B7B0A672-8B9D-4B48-BCFC-13B203EBFAC9}"/>
    <hyperlink ref="C23" r:id="rId24" xr:uid="{145DB28C-0EB0-493F-9ED1-ECFC6FE2BCB0}"/>
    <hyperlink ref="C24" r:id="rId25" xr:uid="{50A77E16-D407-4D13-A351-294A3DA73DD2}"/>
    <hyperlink ref="C44" r:id="rId26" xr:uid="{A702A8A1-B709-430D-95F5-B69948DBB0D6}"/>
    <hyperlink ref="C45" r:id="rId27" xr:uid="{5D2658F7-A64A-413E-8709-A44EA11904F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bb97d0-b1be-4de9-b5d1-3b7be9717e83">
      <Terms xmlns="http://schemas.microsoft.com/office/infopath/2007/PartnerControls"/>
    </lcf76f155ced4ddcb4097134ff3c332f>
    <TaxCatchAll xmlns="5f7b23e3-99b2-43a7-9b8c-55cac750c6b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F990EE12502F0489EDD4B6E4E32B8BA" ma:contentTypeVersion="13" ma:contentTypeDescription="Ein neues Dokument erstellen." ma:contentTypeScope="" ma:versionID="c3c953e7c40d388226fe47b7348e78f1">
  <xsd:schema xmlns:xsd="http://www.w3.org/2001/XMLSchema" xmlns:xs="http://www.w3.org/2001/XMLSchema" xmlns:p="http://schemas.microsoft.com/office/2006/metadata/properties" xmlns:ns2="08bb97d0-b1be-4de9-b5d1-3b7be9717e83" xmlns:ns3="5f7b23e3-99b2-43a7-9b8c-55cac750c6b7" targetNamespace="http://schemas.microsoft.com/office/2006/metadata/properties" ma:root="true" ma:fieldsID="8ba8c0b19890e3ba02b78fb3721b9486" ns2:_="" ns3:_="">
    <xsd:import namespace="08bb97d0-b1be-4de9-b5d1-3b7be9717e83"/>
    <xsd:import namespace="5f7b23e3-99b2-43a7-9b8c-55cac750c6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b97d0-b1be-4de9-b5d1-3b7be9717e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5c3d80a2-d20d-4b19-b72b-65aabf46d8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b23e3-99b2-43a7-9b8c-55cac750c6b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38a1c98-5343-45b5-bd24-f950672be315}" ma:internalName="TaxCatchAll" ma:showField="CatchAllData" ma:web="5f7b23e3-99b2-43a7-9b8c-55cac750c6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40AADF-3399-4388-96AA-5A36743FE963}"/>
</file>

<file path=customXml/itemProps2.xml><?xml version="1.0" encoding="utf-8"?>
<ds:datastoreItem xmlns:ds="http://schemas.openxmlformats.org/officeDocument/2006/customXml" ds:itemID="{AFC5A404-4BD3-40A0-B6E4-45071B958991}"/>
</file>

<file path=customXml/itemProps3.xml><?xml version="1.0" encoding="utf-8"?>
<ds:datastoreItem xmlns:ds="http://schemas.openxmlformats.org/officeDocument/2006/customXml" ds:itemID="{F7987518-D65E-4992-8548-A7AC84EA9D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2026-10-04T16:32:43Z</dcterms:created>
  <dcterms:modified xsi:type="dcterms:W3CDTF">2026-10-23T12:14:59Z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0x0101003F990EE12502F0489EDD4B6E4E32B8BA</vt:lpwstr>
  </property>
  <property fmtid="{D5CDD505-2E9C-101B-9397-08002B2CF9AE}" pid="3" name="MediaServiceImageTags">
    <vt:lpwstr/>
  </property>
</Properties>
</file>